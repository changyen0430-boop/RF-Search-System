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Work_data_Foxconn\F_data\others\RF Integrated Conversion Tool\pdf_tool\Summary_backup\"/>
    </mc:Choice>
  </mc:AlternateContent>
  <xr:revisionPtr revIDLastSave="0" documentId="13_ncr:1_{A47A52FB-0A10-4395-958B-4116F61C600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2" i="1" l="1"/>
  <c r="P21" i="1"/>
  <c r="P20" i="1"/>
  <c r="P19" i="1"/>
  <c r="P18" i="1"/>
  <c r="P17" i="1"/>
  <c r="P16" i="1"/>
  <c r="P15" i="1"/>
  <c r="P14" i="1"/>
  <c r="P13" i="1"/>
  <c r="P12" i="1"/>
  <c r="P11" i="1"/>
  <c r="P10" i="1"/>
  <c r="P9" i="1"/>
  <c r="P8" i="1"/>
  <c r="P7" i="1"/>
  <c r="P6" i="1"/>
  <c r="P5" i="1"/>
  <c r="P4" i="1"/>
  <c r="P3" i="1"/>
  <c r="P2" i="1"/>
</calcChain>
</file>

<file path=xl/sharedStrings.xml><?xml version="1.0" encoding="utf-8"?>
<sst xmlns="http://schemas.openxmlformats.org/spreadsheetml/2006/main" count="327" uniqueCount="134">
  <si>
    <t>Description</t>
  </si>
  <si>
    <t>Vendor</t>
  </si>
  <si>
    <t>Vendor PN</t>
  </si>
  <si>
    <t>Antenna</t>
  </si>
  <si>
    <t>Max Bandwidth</t>
  </si>
  <si>
    <t>MCU</t>
  </si>
  <si>
    <t>Feature Support_Wi-Fi</t>
  </si>
  <si>
    <t>Feature Support_BT</t>
  </si>
  <si>
    <t>Feature Support_Z-Wave</t>
  </si>
  <si>
    <t>Feature Support_NFC</t>
  </si>
  <si>
    <t>Feature Support_Zigbee</t>
  </si>
  <si>
    <t>Feature Support_Thread</t>
  </si>
  <si>
    <t>Feature Support_Matter</t>
  </si>
  <si>
    <t>Maximum(ideal) Throughput(Mbps)</t>
  </si>
  <si>
    <t>Link to Datasheet</t>
  </si>
  <si>
    <t>AMPAK</t>
  </si>
  <si>
    <t>AP6275S</t>
  </si>
  <si>
    <t>2x2</t>
  </si>
  <si>
    <t>ax 80MHz</t>
  </si>
  <si>
    <t>NA</t>
  </si>
  <si>
    <t>Wi-Fi 6 ax mode</t>
  </si>
  <si>
    <t>BT 5.3</t>
  </si>
  <si>
    <t>15 x 13 x 1.55 MM</t>
  </si>
  <si>
    <t>1200</t>
  </si>
  <si>
    <t>AP6281S</t>
  </si>
  <si>
    <t>1x1</t>
  </si>
  <si>
    <t>Wi-Fi 6E ax mode</t>
  </si>
  <si>
    <t>12 x 12 x 1.95 MM</t>
  </si>
  <si>
    <t>600</t>
  </si>
  <si>
    <t>AP6398S</t>
  </si>
  <si>
    <t>ac 80MHz</t>
  </si>
  <si>
    <t>Wi-Fi 5 ac mode</t>
  </si>
  <si>
    <t>BT 5.4</t>
  </si>
  <si>
    <t>15 x 13 x 1.85 MM</t>
  </si>
  <si>
    <t>867</t>
  </si>
  <si>
    <t>AP6612X</t>
  </si>
  <si>
    <t>ax 20MHz</t>
  </si>
  <si>
    <t>BT 6.0</t>
  </si>
  <si>
    <t>114.7</t>
  </si>
  <si>
    <t>AzureWave</t>
  </si>
  <si>
    <t>BEKEN</t>
  </si>
  <si>
    <t>ax 40MHz</t>
  </si>
  <si>
    <t>LB-LINK</t>
  </si>
  <si>
    <t>BL-M8733BS2</t>
  </si>
  <si>
    <t>BT 5.2</t>
  </si>
  <si>
    <t>TI</t>
  </si>
  <si>
    <t>CC2340R</t>
  </si>
  <si>
    <t>Cdtech</t>
  </si>
  <si>
    <t>CDW-20733BS-00</t>
  </si>
  <si>
    <t>MEDIATEK</t>
  </si>
  <si>
    <t>be 160MHz</t>
  </si>
  <si>
    <t>Wi-Fi 7 be mode</t>
  </si>
  <si>
    <t>8.7 x 11.5 MM</t>
  </si>
  <si>
    <t>Telink</t>
  </si>
  <si>
    <t>ML9118A-GAIA-M0-PG12</t>
  </si>
  <si>
    <t>SILICON LABS</t>
  </si>
  <si>
    <t>BT 5.1</t>
  </si>
  <si>
    <t>ESPRESSIF</t>
  </si>
  <si>
    <t>infineon</t>
  </si>
  <si>
    <t>BT 5.0</t>
  </si>
  <si>
    <t>9 x 9 x 0.9 MM</t>
  </si>
  <si>
    <t>REALTEK</t>
  </si>
  <si>
    <t>NXP</t>
  </si>
  <si>
    <t>ST</t>
  </si>
  <si>
    <t>Wi-Fi 6 ax mode &amp; BT 5.3</t>
    <phoneticPr fontId="4" type="noConversion"/>
  </si>
  <si>
    <t xml:space="preserve">Wi-Fi 5 ac mode &amp; BT 5.4 </t>
    <phoneticPr fontId="4" type="noConversion"/>
  </si>
  <si>
    <t>Cortex®-M33</t>
    <phoneticPr fontId="4" type="noConversion"/>
  </si>
  <si>
    <t>AW-CU642</t>
    <phoneticPr fontId="4" type="noConversion"/>
  </si>
  <si>
    <t>Matter</t>
  </si>
  <si>
    <t>Thread</t>
  </si>
  <si>
    <t>Zigbee</t>
  </si>
  <si>
    <t xml:space="preserve">Wi-Fi 6E ax mode &amp; BT 5.3 &amp; Thread </t>
    <phoneticPr fontId="4" type="noConversion"/>
  </si>
  <si>
    <t>Wi-Fi 6E ax mode &amp; BT 6.0 &amp; Zigbee &amp; Thread</t>
    <phoneticPr fontId="4" type="noConversion"/>
  </si>
  <si>
    <t>ax 20MHz</t>
    <phoneticPr fontId="4" type="noConversion"/>
  </si>
  <si>
    <t>12 x 12 x 1.82 MM</t>
    <phoneticPr fontId="4" type="noConversion"/>
  </si>
  <si>
    <t>16 x 25 MM</t>
    <phoneticPr fontId="4" type="noConversion"/>
  </si>
  <si>
    <t>Dimension(L W H)</t>
    <phoneticPr fontId="4" type="noConversion"/>
  </si>
  <si>
    <t>Armv8-M STAR-MC1</t>
    <phoneticPr fontId="4" type="noConversion"/>
  </si>
  <si>
    <t>Wi-Fi 6E ax mode &amp; BT 5.3 &amp; Matter with MCU</t>
    <phoneticPr fontId="4" type="noConversion"/>
  </si>
  <si>
    <t>5 x 5 x 0.9 MM</t>
    <phoneticPr fontId="4" type="noConversion"/>
  </si>
  <si>
    <t>NA</t>
    <phoneticPr fontId="4" type="noConversion"/>
  </si>
  <si>
    <t>Wi-Fi 4 n mode</t>
    <phoneticPr fontId="4" type="noConversion"/>
  </si>
  <si>
    <t>n 40MHz</t>
    <phoneticPr fontId="4" type="noConversion"/>
  </si>
  <si>
    <t>Wi-Fi 4 n mode &amp; BT 5.2</t>
    <phoneticPr fontId="4" type="noConversion"/>
  </si>
  <si>
    <t>12 x 12 x 2.3 MM</t>
    <phoneticPr fontId="4" type="noConversion"/>
  </si>
  <si>
    <t>Arm® Cortex®-M0+</t>
  </si>
  <si>
    <t>5mm × 5mm RKP QFN40</t>
  </si>
  <si>
    <t>Wi-Fi 6 ax mode &amp; BT 5.4 with MCU</t>
    <phoneticPr fontId="4" type="noConversion"/>
  </si>
  <si>
    <t>BT 5.4 &amp; Zigbee &amp; Thread  with MCU</t>
    <phoneticPr fontId="4" type="noConversion"/>
  </si>
  <si>
    <t xml:space="preserve"> 12x12 x1.7 MM</t>
    <phoneticPr fontId="4" type="noConversion"/>
  </si>
  <si>
    <t>MT7925A</t>
    <phoneticPr fontId="4" type="noConversion"/>
  </si>
  <si>
    <t xml:space="preserve">Wi-Fi 7 be mode &amp; BT 5.4 </t>
    <phoneticPr fontId="4" type="noConversion"/>
  </si>
  <si>
    <t>Wi-Fi 6 ax mode &amp; BT 5.4 Module &amp; Zigbee &amp; Thread &amp; Matter</t>
    <phoneticPr fontId="4" type="noConversion"/>
  </si>
  <si>
    <t>18.0 x 25.5 x 3.1 MM</t>
    <phoneticPr fontId="4" type="noConversion"/>
  </si>
  <si>
    <t>Wi-Fi 6 ax mode, 2.4GHz only</t>
    <phoneticPr fontId="4" type="noConversion"/>
  </si>
  <si>
    <t>BK7236</t>
    <phoneticPr fontId="4" type="noConversion"/>
  </si>
  <si>
    <t>TLSR9118</t>
    <phoneticPr fontId="4" type="noConversion"/>
  </si>
  <si>
    <t>32-bit RISC-V</t>
  </si>
  <si>
    <t>40-pin QFN 5x5 MM</t>
    <phoneticPr fontId="4" type="noConversion"/>
  </si>
  <si>
    <t>Wi-Fi 6 ax mode &amp; BT 5.4 &amp; Zigbee &amp; Thread &amp; Matter with MCU</t>
    <phoneticPr fontId="4" type="noConversion"/>
  </si>
  <si>
    <t>QFN32 4x4 MM</t>
    <phoneticPr fontId="4" type="noConversion"/>
  </si>
  <si>
    <t>EFR32MG21</t>
    <phoneticPr fontId="4" type="noConversion"/>
  </si>
  <si>
    <t>Arm® Cortex®-M33</t>
  </si>
  <si>
    <t>Zigbee &amp; Thread &amp; BT 5.1 with MCU</t>
    <phoneticPr fontId="4" type="noConversion"/>
  </si>
  <si>
    <t>BT 5.0</t>
    <phoneticPr fontId="4" type="noConversion"/>
  </si>
  <si>
    <t>ESP32-C6</t>
    <phoneticPr fontId="4" type="noConversion"/>
  </si>
  <si>
    <t>QFN40 5×5 MM</t>
    <phoneticPr fontId="4" type="noConversion"/>
  </si>
  <si>
    <t>Wi-Fi 6E ax mode &amp; BT 5.0 &amp; Zigbee &amp; Thread &amp; Matter with MCU</t>
    <phoneticPr fontId="4" type="noConversion"/>
  </si>
  <si>
    <t>CYW43439</t>
    <phoneticPr fontId="4" type="noConversion"/>
  </si>
  <si>
    <t>4.87 × 2.87 x 0.4 MM</t>
    <phoneticPr fontId="4" type="noConversion"/>
  </si>
  <si>
    <t>Wi-Fi 4 n mode, 2.4GHz only</t>
    <phoneticPr fontId="4" type="noConversion"/>
  </si>
  <si>
    <t>n 20MHz</t>
    <phoneticPr fontId="4" type="noConversion"/>
  </si>
  <si>
    <t xml:space="preserve">Wi-Fi 4 n mode &amp; BT 5.0 </t>
    <phoneticPr fontId="4" type="noConversion"/>
  </si>
  <si>
    <t xml:space="preserve">Wi-Fi 5 ac mode &amp; BT 5.0 </t>
    <phoneticPr fontId="4" type="noConversion"/>
  </si>
  <si>
    <t>MT7663BSN</t>
    <phoneticPr fontId="4" type="noConversion"/>
  </si>
  <si>
    <t>RTL8720L</t>
    <phoneticPr fontId="4" type="noConversion"/>
  </si>
  <si>
    <t>ARM CORTEX-M55</t>
    <phoneticPr fontId="4" type="noConversion"/>
  </si>
  <si>
    <t>Wi-Fi 6 ax mode &amp; BT 6.0 &amp; Thread with MCU</t>
    <phoneticPr fontId="4" type="noConversion"/>
  </si>
  <si>
    <t>SE051</t>
    <phoneticPr fontId="4" type="noConversion"/>
  </si>
  <si>
    <t>NFC</t>
    <phoneticPr fontId="4" type="noConversion"/>
  </si>
  <si>
    <t>NFC(Secure Element)</t>
    <phoneticPr fontId="4" type="noConversion"/>
  </si>
  <si>
    <t>3 x 3 x 0.32 MM</t>
    <phoneticPr fontId="4" type="noConversion"/>
  </si>
  <si>
    <t>UFQFPN48 7 x 7 MM</t>
    <phoneticPr fontId="4" type="noConversion"/>
  </si>
  <si>
    <t>STM32WBA6xxx</t>
    <phoneticPr fontId="4" type="noConversion"/>
  </si>
  <si>
    <t>BT 5.4 &amp; Zigbee &amp; Thread &amp; Matter with MCU</t>
    <phoneticPr fontId="4" type="noConversion"/>
  </si>
  <si>
    <t>Z-wave(Long Range)</t>
    <phoneticPr fontId="4" type="noConversion"/>
  </si>
  <si>
    <t>6.5 x 6.5 MM</t>
    <phoneticPr fontId="4" type="noConversion"/>
  </si>
  <si>
    <t>ZGM230S</t>
    <phoneticPr fontId="4" type="noConversion"/>
  </si>
  <si>
    <t>Arm CORTEX-M33</t>
    <phoneticPr fontId="4" type="noConversion"/>
  </si>
  <si>
    <t>Z-wave &amp; BT 5.3 with MCU</t>
    <phoneticPr fontId="4" type="noConversion"/>
  </si>
  <si>
    <t>6233A-SRB</t>
    <phoneticPr fontId="4" type="noConversion"/>
  </si>
  <si>
    <t>Fn-Link</t>
    <phoneticPr fontId="4" type="noConversion"/>
  </si>
  <si>
    <t>BT 5.2</t>
    <phoneticPr fontId="4" type="noConversion"/>
  </si>
  <si>
    <t xml:space="preserve"> 12x12 MM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</si>
</sst>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新細明體"/>
      <family val="2"/>
      <scheme val="minor"/>
    </font>
    <font>
      <u/>
      <sz val="11"/>
      <color theme="10"/>
      <name val="Calibri"/>
      <family val="2"/>
    </font>
    <font>
      <b/>
      <sz val="11"/>
      <color rgb="FFFFFFFF"/>
      <name val="新細明體"/>
      <family val="1"/>
      <charset val="136"/>
    </font>
    <font>
      <u/>
      <sz val="11"/>
      <color rgb="FF0563C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00B050"/>
        <bgColor rgb="FFE0F7FA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>
      <alignment vertical="top"/>
      <protection locked="0"/>
    </xf>
  </cellStyleXfs>
  <cellXfs count="6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3" fillId="3" borderId="0" xfId="1" applyFont="1" applyFill="1" applyAlignment="1" applyProtection="1">
      <alignment horizontal="center" vertical="center"/>
    </xf>
    <xf numFmtId="0" fontId="0" fillId="4" borderId="0" xfId="0" applyFill="1"/>
    <xf numFmtId="0" fontId="0" fillId="3" borderId="0" xfId="0" applyFill="1" applyAlignment="1">
      <alignment horizontal="center" vertical="center" wrapText="1"/>
    </xf>
  </cellXfs>
  <cellStyles count="2">
    <cellStyle name="一般" xfId="0" builtinId="0"/>
    <cellStyle name="超連結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file/d/1minfSE-MXTV53DYGYJ08atkwwpyn7qqw/view?usp=drivesdk" TargetMode="External"/><Relationship Id="rId13" Type="http://schemas.openxmlformats.org/officeDocument/2006/relationships/hyperlink" Target="https://drive.google.com/file/d/15iqh-UfEggAtB4Zm3Fimk5YggDPbBBJM/view?usp=drivesdk" TargetMode="External"/><Relationship Id="rId18" Type="http://schemas.openxmlformats.org/officeDocument/2006/relationships/hyperlink" Target="https://drive.google.com/file/d/1jT05zm-07VXdXQVMkX_fkHUpF08Bocq2/view?usp=drivesdk" TargetMode="External"/><Relationship Id="rId3" Type="http://schemas.openxmlformats.org/officeDocument/2006/relationships/hyperlink" Target="https://drive.google.com/file/d/11N0SvkUDkNrCac00_5oAU5qrsR33ZSIR/view?usp=drivesdk" TargetMode="External"/><Relationship Id="rId21" Type="http://schemas.openxmlformats.org/officeDocument/2006/relationships/hyperlink" Target="https://drive.google.com/file/d/1i0AeqZoohpgV9pcNxVhHh1HRQRkCURfB/view?usp=drivesdk" TargetMode="External"/><Relationship Id="rId7" Type="http://schemas.openxmlformats.org/officeDocument/2006/relationships/hyperlink" Target="https://drive.google.com/file/d/1lF0qUZPQBU5_4ZlMJ_EXhyjOoyTiZhLC/view?usp=drivesdk" TargetMode="External"/><Relationship Id="rId12" Type="http://schemas.openxmlformats.org/officeDocument/2006/relationships/hyperlink" Target="https://drive.google.com/file/d/11DY2adB3ERlfVkAGmivmY65Vw4YvBWnc/view?usp=drivesdk" TargetMode="External"/><Relationship Id="rId17" Type="http://schemas.openxmlformats.org/officeDocument/2006/relationships/hyperlink" Target="https://drive.google.com/file/d/1ug2XGGWjsIgMuoCqP-QrqmEMwf7Yyfzm/view?usp=drivesdk" TargetMode="External"/><Relationship Id="rId2" Type="http://schemas.openxmlformats.org/officeDocument/2006/relationships/hyperlink" Target="https://drive.google.com/file/d/1sbtHbw8_wTwUc0509-G26OVO2Bb7Uk4i/view?usp=drivesdk" TargetMode="External"/><Relationship Id="rId16" Type="http://schemas.openxmlformats.org/officeDocument/2006/relationships/hyperlink" Target="https://drive.google.com/file/d/1tw-6AdqS0HNknNb-ClF4HuzQ_9Qv0tZX/view?usp=drivesdk" TargetMode="External"/><Relationship Id="rId20" Type="http://schemas.openxmlformats.org/officeDocument/2006/relationships/hyperlink" Target="https://drive.google.com/file/d/1GFuWb3xBw_b0_qPAEcJe4U71XjEMjqPG/view?usp=drivesdk" TargetMode="External"/><Relationship Id="rId1" Type="http://schemas.openxmlformats.org/officeDocument/2006/relationships/hyperlink" Target="https://drive.google.com/file/d/1e6dyi1UhbbwXRG91bO9J8tu9BbvyRqp4/view?usp=drivesdk" TargetMode="External"/><Relationship Id="rId6" Type="http://schemas.openxmlformats.org/officeDocument/2006/relationships/hyperlink" Target="https://drive.google.com/file/d/12if3rDbj_TmQ56oTt-uMGMTeIh2q8p_P/view?usp=drivesdk" TargetMode="External"/><Relationship Id="rId11" Type="http://schemas.openxmlformats.org/officeDocument/2006/relationships/hyperlink" Target="https://drive.google.com/file/d/1QsVfFcjj2yQXSdcBL_hzQtQ-ovcInaQ8/view?usp=drivesdk" TargetMode="External"/><Relationship Id="rId5" Type="http://schemas.openxmlformats.org/officeDocument/2006/relationships/hyperlink" Target="https://drive.google.com/file/d/1mNE-XGwv_7f4JRp4bOe6uKTHhQXpiYgl/view?usp=drivesdk" TargetMode="External"/><Relationship Id="rId15" Type="http://schemas.openxmlformats.org/officeDocument/2006/relationships/hyperlink" Target="https://drive.google.com/file/d/1EVBLCvhAckAxAiWqC0sHp7kgcu-QL1aT/view?usp=drivesdk" TargetMode="External"/><Relationship Id="rId10" Type="http://schemas.openxmlformats.org/officeDocument/2006/relationships/hyperlink" Target="https://drive.google.com/file/d/1wEK4yFsPYqo9OYQuWAv3SGZeT4ENBV_O/view?usp=drivesdk" TargetMode="External"/><Relationship Id="rId19" Type="http://schemas.openxmlformats.org/officeDocument/2006/relationships/hyperlink" Target="https://drive.google.com/file/d/1ndiN_0xDTRnKKdv32id-AACsf5JMvIgd/view?usp=drivesdk" TargetMode="External"/><Relationship Id="rId4" Type="http://schemas.openxmlformats.org/officeDocument/2006/relationships/hyperlink" Target="https://drive.google.com/file/d/1KPPSIC1BxLa05YJ5tZk0wuWnAXmLiGC8/view?usp=drivesdk" TargetMode="External"/><Relationship Id="rId9" Type="http://schemas.openxmlformats.org/officeDocument/2006/relationships/hyperlink" Target="https://drive.google.com/file/d/1nXEpvz2paWVntYvOcq8nfj_caD1Afguk/view?usp=drivesdk" TargetMode="External"/><Relationship Id="rId14" Type="http://schemas.openxmlformats.org/officeDocument/2006/relationships/hyperlink" Target="https://drive.google.com/file/d/1bc0Lbg_sBGrrw6C_KffGqKgPn8XKjE2P/view?usp=drivesd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2"/>
  <sheetViews>
    <sheetView tabSelected="1" topLeftCell="G1" workbookViewId="0">
      <selection activeCell="P22" sqref="P22"/>
    </sheetView>
  </sheetViews>
  <sheetFormatPr defaultRowHeight="15.75" x14ac:dyDescent="0.25"/>
  <cols>
    <col min="1" max="1" width="61.42578125" bestFit="1" customWidth="1"/>
    <col min="2" max="2" width="16.140625" bestFit="1" customWidth="1"/>
    <col min="3" max="3" width="26.7109375" bestFit="1" customWidth="1"/>
    <col min="4" max="4" width="9.42578125" bestFit="1" customWidth="1"/>
    <col min="5" max="5" width="17.42578125" bestFit="1" customWidth="1"/>
    <col min="6" max="6" width="28.7109375" bestFit="1" customWidth="1"/>
    <col min="7" max="7" width="29.28515625" bestFit="1" customWidth="1"/>
    <col min="8" max="8" width="22.140625" bestFit="1" customWidth="1"/>
    <col min="9" max="9" width="27.28515625" bestFit="1" customWidth="1"/>
    <col min="10" max="10" width="23.85546875" bestFit="1" customWidth="1"/>
    <col min="11" max="11" width="26.140625" bestFit="1" customWidth="1"/>
    <col min="12" max="12" width="26.42578125" bestFit="1" customWidth="1"/>
    <col min="13" max="13" width="26" bestFit="1" customWidth="1"/>
    <col min="14" max="14" width="24.85546875" bestFit="1" customWidth="1"/>
    <col min="15" max="15" width="39.28515625" bestFit="1" customWidth="1"/>
    <col min="16" max="16" width="19.42578125" bestFit="1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76</v>
      </c>
      <c r="O1" s="1" t="s">
        <v>13</v>
      </c>
      <c r="P1" s="1" t="s">
        <v>14</v>
      </c>
    </row>
    <row r="2" spans="1:16" s="4" customFormat="1" x14ac:dyDescent="0.25">
      <c r="A2" s="2" t="s">
        <v>64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19</v>
      </c>
      <c r="J2" s="2" t="s">
        <v>19</v>
      </c>
      <c r="K2" s="2" t="s">
        <v>19</v>
      </c>
      <c r="L2" s="2" t="s">
        <v>19</v>
      </c>
      <c r="M2" s="2" t="s">
        <v>19</v>
      </c>
      <c r="N2" s="2" t="s">
        <v>22</v>
      </c>
      <c r="O2" s="2" t="s">
        <v>23</v>
      </c>
      <c r="P2" s="3" t="str">
        <f>HYPERLINK("https://drive.google.com/file/d/1e6dyi1UhbbwXRG91bO9J8tu9BbvyRqp4/view?usp=drivesdk", "Link")</f>
        <v>Link</v>
      </c>
    </row>
    <row r="3" spans="1:16" s="4" customFormat="1" x14ac:dyDescent="0.25">
      <c r="A3" s="2" t="s">
        <v>71</v>
      </c>
      <c r="B3" s="2" t="s">
        <v>15</v>
      </c>
      <c r="C3" s="2" t="s">
        <v>24</v>
      </c>
      <c r="D3" s="2" t="s">
        <v>25</v>
      </c>
      <c r="E3" s="2" t="s">
        <v>18</v>
      </c>
      <c r="F3" s="2" t="s">
        <v>19</v>
      </c>
      <c r="G3" s="2" t="s">
        <v>26</v>
      </c>
      <c r="H3" s="2" t="s">
        <v>21</v>
      </c>
      <c r="I3" s="2" t="s">
        <v>19</v>
      </c>
      <c r="J3" s="2" t="s">
        <v>19</v>
      </c>
      <c r="K3" s="2" t="s">
        <v>19</v>
      </c>
      <c r="L3" s="2" t="s">
        <v>69</v>
      </c>
      <c r="M3" s="2" t="s">
        <v>19</v>
      </c>
      <c r="N3" s="2" t="s">
        <v>27</v>
      </c>
      <c r="O3" s="2" t="s">
        <v>28</v>
      </c>
      <c r="P3" s="3" t="str">
        <f>HYPERLINK("https://drive.google.com/file/d/1sbtHbw8_wTwUc0509-G26OVO2Bb7Uk4i/view?usp=drivesdk", "Link")</f>
        <v>Link</v>
      </c>
    </row>
    <row r="4" spans="1:16" s="4" customFormat="1" x14ac:dyDescent="0.25">
      <c r="A4" s="2" t="s">
        <v>65</v>
      </c>
      <c r="B4" s="2" t="s">
        <v>15</v>
      </c>
      <c r="C4" s="2" t="s">
        <v>29</v>
      </c>
      <c r="D4" s="2" t="s">
        <v>17</v>
      </c>
      <c r="E4" s="2" t="s">
        <v>30</v>
      </c>
      <c r="F4" s="2" t="s">
        <v>19</v>
      </c>
      <c r="G4" s="2" t="s">
        <v>31</v>
      </c>
      <c r="H4" s="2" t="s">
        <v>32</v>
      </c>
      <c r="I4" s="2" t="s">
        <v>19</v>
      </c>
      <c r="J4" s="2" t="s">
        <v>19</v>
      </c>
      <c r="K4" s="2" t="s">
        <v>19</v>
      </c>
      <c r="L4" s="2" t="s">
        <v>19</v>
      </c>
      <c r="M4" s="2" t="s">
        <v>19</v>
      </c>
      <c r="N4" s="2" t="s">
        <v>33</v>
      </c>
      <c r="O4" s="2" t="s">
        <v>34</v>
      </c>
      <c r="P4" s="3" t="str">
        <f>HYPERLINK("https://drive.google.com/file/d/11N0SvkUDkNrCac00_5oAU5qrsR33ZSIR/view?usp=drivesdk", "Link")</f>
        <v>Link</v>
      </c>
    </row>
    <row r="5" spans="1:16" s="4" customFormat="1" x14ac:dyDescent="0.25">
      <c r="A5" s="2" t="s">
        <v>72</v>
      </c>
      <c r="B5" s="2" t="s">
        <v>15</v>
      </c>
      <c r="C5" s="2" t="s">
        <v>35</v>
      </c>
      <c r="D5" s="2" t="s">
        <v>25</v>
      </c>
      <c r="E5" s="2" t="s">
        <v>36</v>
      </c>
      <c r="F5" s="2" t="s">
        <v>19</v>
      </c>
      <c r="G5" s="2" t="s">
        <v>26</v>
      </c>
      <c r="H5" s="2" t="s">
        <v>37</v>
      </c>
      <c r="I5" s="2" t="s">
        <v>19</v>
      </c>
      <c r="J5" s="2" t="s">
        <v>19</v>
      </c>
      <c r="K5" s="2" t="s">
        <v>70</v>
      </c>
      <c r="L5" s="2" t="s">
        <v>69</v>
      </c>
      <c r="M5" s="2" t="s">
        <v>19</v>
      </c>
      <c r="N5" s="2" t="s">
        <v>74</v>
      </c>
      <c r="O5" s="2" t="s">
        <v>38</v>
      </c>
      <c r="P5" s="3" t="str">
        <f>HYPERLINK("https://drive.google.com/file/d/1KPPSIC1BxLa05YJ5tZk0wuWnAXmLiGC8/view?usp=drivesdk", "Link")</f>
        <v>Link</v>
      </c>
    </row>
    <row r="6" spans="1:16" s="4" customFormat="1" x14ac:dyDescent="0.25">
      <c r="A6" s="2" t="s">
        <v>78</v>
      </c>
      <c r="B6" s="2" t="s">
        <v>39</v>
      </c>
      <c r="C6" s="2" t="s">
        <v>67</v>
      </c>
      <c r="D6" s="2" t="s">
        <v>25</v>
      </c>
      <c r="E6" s="2" t="s">
        <v>73</v>
      </c>
      <c r="F6" s="2" t="s">
        <v>66</v>
      </c>
      <c r="G6" s="2" t="s">
        <v>26</v>
      </c>
      <c r="H6" s="2" t="s">
        <v>21</v>
      </c>
      <c r="I6" s="2" t="s">
        <v>19</v>
      </c>
      <c r="J6" s="2" t="s">
        <v>19</v>
      </c>
      <c r="K6" s="2" t="s">
        <v>19</v>
      </c>
      <c r="L6" s="2" t="s">
        <v>19</v>
      </c>
      <c r="M6" s="2" t="s">
        <v>68</v>
      </c>
      <c r="N6" s="2" t="s">
        <v>75</v>
      </c>
      <c r="O6" s="2">
        <v>40</v>
      </c>
      <c r="P6" s="3" t="str">
        <f>HYPERLINK("https://drive.google.com/file/d/1mNE-XGwv_7f4JRp4bOe6uKTHhQXpiYgl/view?usp=drivesdk", "Link")</f>
        <v>Link</v>
      </c>
    </row>
    <row r="7" spans="1:16" s="4" customFormat="1" x14ac:dyDescent="0.25">
      <c r="A7" s="2" t="s">
        <v>87</v>
      </c>
      <c r="B7" s="2" t="s">
        <v>40</v>
      </c>
      <c r="C7" s="2" t="s">
        <v>95</v>
      </c>
      <c r="D7" s="2" t="s">
        <v>25</v>
      </c>
      <c r="E7" s="2" t="s">
        <v>41</v>
      </c>
      <c r="F7" s="2" t="s">
        <v>77</v>
      </c>
      <c r="G7" s="2" t="s">
        <v>94</v>
      </c>
      <c r="H7" s="2" t="s">
        <v>32</v>
      </c>
      <c r="I7" s="2" t="s">
        <v>19</v>
      </c>
      <c r="J7" s="2" t="s">
        <v>19</v>
      </c>
      <c r="K7" s="2" t="s">
        <v>19</v>
      </c>
      <c r="L7" s="2" t="s">
        <v>19</v>
      </c>
      <c r="M7" s="2" t="s">
        <v>19</v>
      </c>
      <c r="N7" s="2" t="s">
        <v>79</v>
      </c>
      <c r="O7" s="2" t="s">
        <v>19</v>
      </c>
      <c r="P7" s="3" t="str">
        <f>HYPERLINK("https://drive.google.com/file/d/12if3rDbj_TmQ56oTt-uMGMTeIh2q8p_P/view?usp=drivesdk", "Link")</f>
        <v>Link</v>
      </c>
    </row>
    <row r="8" spans="1:16" s="4" customFormat="1" x14ac:dyDescent="0.25">
      <c r="A8" s="2" t="s">
        <v>83</v>
      </c>
      <c r="B8" s="2" t="s">
        <v>42</v>
      </c>
      <c r="C8" s="2" t="s">
        <v>43</v>
      </c>
      <c r="D8" s="2" t="s">
        <v>25</v>
      </c>
      <c r="E8" s="2" t="s">
        <v>82</v>
      </c>
      <c r="F8" s="2" t="s">
        <v>19</v>
      </c>
      <c r="G8" s="2" t="s">
        <v>81</v>
      </c>
      <c r="H8" s="2" t="s">
        <v>44</v>
      </c>
      <c r="I8" s="2" t="s">
        <v>19</v>
      </c>
      <c r="J8" s="2" t="s">
        <v>19</v>
      </c>
      <c r="K8" s="2" t="s">
        <v>19</v>
      </c>
      <c r="L8" s="2" t="s">
        <v>19</v>
      </c>
      <c r="M8" s="2" t="s">
        <v>19</v>
      </c>
      <c r="N8" s="2" t="s">
        <v>84</v>
      </c>
      <c r="O8" s="2">
        <v>150</v>
      </c>
      <c r="P8" s="3" t="str">
        <f>HYPERLINK("https://drive.google.com/file/d/1lF0qUZPQBU5_4ZlMJ_EXhyjOoyTiZhLC/view?usp=drivesdk", "Link")</f>
        <v>Link</v>
      </c>
    </row>
    <row r="9" spans="1:16" s="4" customFormat="1" x14ac:dyDescent="0.25">
      <c r="A9" s="2" t="s">
        <v>88</v>
      </c>
      <c r="B9" s="2" t="s">
        <v>45</v>
      </c>
      <c r="C9" s="2" t="s">
        <v>46</v>
      </c>
      <c r="D9" s="2" t="s">
        <v>25</v>
      </c>
      <c r="E9" s="2" t="s">
        <v>19</v>
      </c>
      <c r="F9" s="2" t="s">
        <v>85</v>
      </c>
      <c r="G9" s="2" t="s">
        <v>19</v>
      </c>
      <c r="H9" s="2" t="s">
        <v>32</v>
      </c>
      <c r="I9" s="2" t="s">
        <v>19</v>
      </c>
      <c r="J9" s="2" t="s">
        <v>19</v>
      </c>
      <c r="K9" s="2" t="s">
        <v>70</v>
      </c>
      <c r="L9" s="2" t="s">
        <v>69</v>
      </c>
      <c r="M9" s="2" t="s">
        <v>19</v>
      </c>
      <c r="N9" s="2" t="s">
        <v>86</v>
      </c>
      <c r="O9" s="2" t="s">
        <v>19</v>
      </c>
      <c r="P9" s="3" t="str">
        <f>HYPERLINK("https://drive.google.com/file/d/1minfSE-MXTV53DYGYJ08atkwwpyn7qqw/view?usp=drivesdk", "Link")</f>
        <v>Link</v>
      </c>
    </row>
    <row r="10" spans="1:16" s="4" customFormat="1" x14ac:dyDescent="0.25">
      <c r="A10" s="2" t="s">
        <v>83</v>
      </c>
      <c r="B10" s="2" t="s">
        <v>47</v>
      </c>
      <c r="C10" s="2" t="s">
        <v>48</v>
      </c>
      <c r="D10" s="2" t="s">
        <v>25</v>
      </c>
      <c r="E10" s="2" t="s">
        <v>82</v>
      </c>
      <c r="F10" s="2" t="s">
        <v>19</v>
      </c>
      <c r="G10" s="2" t="s">
        <v>81</v>
      </c>
      <c r="H10" s="2" t="s">
        <v>44</v>
      </c>
      <c r="I10" s="2" t="s">
        <v>19</v>
      </c>
      <c r="J10" s="2" t="s">
        <v>19</v>
      </c>
      <c r="K10" s="2" t="s">
        <v>19</v>
      </c>
      <c r="L10" s="2" t="s">
        <v>19</v>
      </c>
      <c r="M10" s="2" t="s">
        <v>19</v>
      </c>
      <c r="N10" s="2" t="s">
        <v>89</v>
      </c>
      <c r="O10" s="2" t="s">
        <v>19</v>
      </c>
      <c r="P10" s="3" t="str">
        <f>HYPERLINK("https://drive.google.com/file/d/1nXEpvz2paWVntYvOcq8nfj_caD1Afguk/view?usp=drivesdk", "Link")</f>
        <v>Link</v>
      </c>
    </row>
    <row r="11" spans="1:16" s="4" customFormat="1" x14ac:dyDescent="0.25">
      <c r="A11" s="2" t="s">
        <v>91</v>
      </c>
      <c r="B11" s="2" t="s">
        <v>49</v>
      </c>
      <c r="C11" s="2" t="s">
        <v>90</v>
      </c>
      <c r="D11" s="2" t="s">
        <v>17</v>
      </c>
      <c r="E11" s="2" t="s">
        <v>50</v>
      </c>
      <c r="F11" s="2" t="s">
        <v>19</v>
      </c>
      <c r="G11" s="2" t="s">
        <v>51</v>
      </c>
      <c r="H11" s="2" t="s">
        <v>32</v>
      </c>
      <c r="I11" s="2" t="s">
        <v>19</v>
      </c>
      <c r="J11" s="2" t="s">
        <v>19</v>
      </c>
      <c r="K11" s="2" t="s">
        <v>19</v>
      </c>
      <c r="L11" s="2" t="s">
        <v>19</v>
      </c>
      <c r="M11" s="2" t="s">
        <v>19</v>
      </c>
      <c r="N11" s="2" t="s">
        <v>52</v>
      </c>
      <c r="O11" s="2" t="s">
        <v>19</v>
      </c>
      <c r="P11" s="3" t="str">
        <f>HYPERLINK("https://drive.google.com/file/d/1wEK4yFsPYqo9OYQuWAv3SGZeT4ENBV_O/view?usp=drivesdk", "Link")</f>
        <v>Link</v>
      </c>
    </row>
    <row r="12" spans="1:16" s="4" customFormat="1" x14ac:dyDescent="0.25">
      <c r="A12" s="2" t="s">
        <v>92</v>
      </c>
      <c r="B12" s="2" t="s">
        <v>53</v>
      </c>
      <c r="C12" s="2" t="s">
        <v>54</v>
      </c>
      <c r="D12" s="2" t="s">
        <v>25</v>
      </c>
      <c r="E12" s="2" t="s">
        <v>73</v>
      </c>
      <c r="F12" s="2" t="s">
        <v>19</v>
      </c>
      <c r="G12" s="2" t="s">
        <v>94</v>
      </c>
      <c r="H12" s="2" t="s">
        <v>32</v>
      </c>
      <c r="I12" s="2" t="s">
        <v>19</v>
      </c>
      <c r="J12" s="2" t="s">
        <v>19</v>
      </c>
      <c r="K12" s="2" t="s">
        <v>70</v>
      </c>
      <c r="L12" s="2" t="s">
        <v>69</v>
      </c>
      <c r="M12" s="2" t="s">
        <v>68</v>
      </c>
      <c r="N12" s="4" t="s">
        <v>93</v>
      </c>
      <c r="O12" s="2" t="s">
        <v>19</v>
      </c>
      <c r="P12" s="3" t="str">
        <f>HYPERLINK("https://drive.google.com/file/d/1QsVfFcjj2yQXSdcBL_hzQtQ-ovcInaQ8/view?usp=drivesdk", "Link")</f>
        <v>Link</v>
      </c>
    </row>
    <row r="13" spans="1:16" s="4" customFormat="1" x14ac:dyDescent="0.25">
      <c r="A13" s="2" t="s">
        <v>99</v>
      </c>
      <c r="B13" s="2" t="s">
        <v>53</v>
      </c>
      <c r="C13" s="2" t="s">
        <v>96</v>
      </c>
      <c r="D13" s="2" t="s">
        <v>25</v>
      </c>
      <c r="E13" s="2" t="s">
        <v>73</v>
      </c>
      <c r="F13" s="2" t="s">
        <v>97</v>
      </c>
      <c r="G13" s="2" t="s">
        <v>94</v>
      </c>
      <c r="H13" s="2" t="s">
        <v>32</v>
      </c>
      <c r="I13" s="2" t="s">
        <v>19</v>
      </c>
      <c r="J13" s="2" t="s">
        <v>19</v>
      </c>
      <c r="K13" s="2" t="s">
        <v>70</v>
      </c>
      <c r="L13" s="2" t="s">
        <v>69</v>
      </c>
      <c r="M13" s="2" t="s">
        <v>68</v>
      </c>
      <c r="N13" s="5" t="s">
        <v>98</v>
      </c>
      <c r="O13" s="2" t="s">
        <v>19</v>
      </c>
      <c r="P13" s="3" t="str">
        <f>HYPERLINK("https://drive.google.com/file/d/11DY2adB3ERlfVkAGmivmY65Vw4YvBWnc/view?usp=drivesdk", "Link")</f>
        <v>Link</v>
      </c>
    </row>
    <row r="14" spans="1:16" s="4" customFormat="1" x14ac:dyDescent="0.25">
      <c r="A14" s="2" t="s">
        <v>103</v>
      </c>
      <c r="B14" s="2" t="s">
        <v>55</v>
      </c>
      <c r="C14" s="2" t="s">
        <v>101</v>
      </c>
      <c r="D14" s="2" t="s">
        <v>25</v>
      </c>
      <c r="E14" s="2" t="s">
        <v>19</v>
      </c>
      <c r="F14" s="2" t="s">
        <v>102</v>
      </c>
      <c r="G14" s="2" t="s">
        <v>19</v>
      </c>
      <c r="H14" s="2" t="s">
        <v>56</v>
      </c>
      <c r="I14" s="2" t="s">
        <v>19</v>
      </c>
      <c r="J14" s="2" t="s">
        <v>19</v>
      </c>
      <c r="K14" s="2" t="s">
        <v>70</v>
      </c>
      <c r="L14" s="2" t="s">
        <v>69</v>
      </c>
      <c r="M14" s="2" t="s">
        <v>19</v>
      </c>
      <c r="N14" s="2" t="s">
        <v>100</v>
      </c>
      <c r="O14" s="2" t="s">
        <v>19</v>
      </c>
      <c r="P14" s="3" t="str">
        <f>HYPERLINK("https://drive.google.com/file/d/15iqh-UfEggAtB4Zm3Fimk5YggDPbBBJM/view?usp=drivesdk", "Link")</f>
        <v>Link</v>
      </c>
    </row>
    <row r="15" spans="1:16" s="4" customFormat="1" x14ac:dyDescent="0.25">
      <c r="A15" s="2" t="s">
        <v>107</v>
      </c>
      <c r="B15" s="2" t="s">
        <v>57</v>
      </c>
      <c r="C15" s="2" t="s">
        <v>105</v>
      </c>
      <c r="D15" s="2" t="s">
        <v>25</v>
      </c>
      <c r="E15" s="2" t="s">
        <v>73</v>
      </c>
      <c r="F15" s="2" t="s">
        <v>97</v>
      </c>
      <c r="G15" s="2" t="s">
        <v>94</v>
      </c>
      <c r="H15" s="2" t="s">
        <v>104</v>
      </c>
      <c r="I15" s="2" t="s">
        <v>19</v>
      </c>
      <c r="J15" s="2" t="s">
        <v>19</v>
      </c>
      <c r="K15" s="2" t="s">
        <v>70</v>
      </c>
      <c r="L15" s="2" t="s">
        <v>69</v>
      </c>
      <c r="M15" s="2" t="s">
        <v>68</v>
      </c>
      <c r="N15" s="2" t="s">
        <v>106</v>
      </c>
      <c r="O15" s="2" t="s">
        <v>19</v>
      </c>
      <c r="P15" s="3" t="str">
        <f>HYPERLINK("https://drive.google.com/file/d/1bc0Lbg_sBGrrw6C_KffGqKgPn8XKjE2P/view?usp=drivesdk", "Link")</f>
        <v>Link</v>
      </c>
    </row>
    <row r="16" spans="1:16" s="4" customFormat="1" x14ac:dyDescent="0.25">
      <c r="A16" s="2" t="s">
        <v>112</v>
      </c>
      <c r="B16" s="2" t="s">
        <v>58</v>
      </c>
      <c r="C16" s="2" t="s">
        <v>108</v>
      </c>
      <c r="D16" s="2" t="s">
        <v>25</v>
      </c>
      <c r="E16" s="2" t="s">
        <v>111</v>
      </c>
      <c r="F16" s="2" t="s">
        <v>19</v>
      </c>
      <c r="G16" s="2" t="s">
        <v>110</v>
      </c>
      <c r="H16" s="2" t="s">
        <v>104</v>
      </c>
      <c r="I16" s="2" t="s">
        <v>19</v>
      </c>
      <c r="J16" s="2" t="s">
        <v>19</v>
      </c>
      <c r="K16" s="2" t="s">
        <v>19</v>
      </c>
      <c r="L16" s="2" t="s">
        <v>19</v>
      </c>
      <c r="M16" s="2" t="s">
        <v>19</v>
      </c>
      <c r="N16" s="2" t="s">
        <v>109</v>
      </c>
      <c r="O16" s="2" t="s">
        <v>19</v>
      </c>
      <c r="P16" s="3" t="str">
        <f>HYPERLINK("https://drive.google.com/file/d/1EVBLCvhAckAxAiWqC0sHp7kgcu-QL1aT/view?usp=drivesdk", "Link")</f>
        <v>Link</v>
      </c>
    </row>
    <row r="17" spans="1:16" s="4" customFormat="1" x14ac:dyDescent="0.25">
      <c r="A17" s="2" t="s">
        <v>113</v>
      </c>
      <c r="B17" s="2" t="s">
        <v>49</v>
      </c>
      <c r="C17" s="2" t="s">
        <v>114</v>
      </c>
      <c r="D17" s="2" t="s">
        <v>17</v>
      </c>
      <c r="E17" s="2" t="s">
        <v>30</v>
      </c>
      <c r="F17" s="2" t="s">
        <v>19</v>
      </c>
      <c r="G17" s="2" t="s">
        <v>31</v>
      </c>
      <c r="H17" s="2" t="s">
        <v>59</v>
      </c>
      <c r="I17" s="2" t="s">
        <v>19</v>
      </c>
      <c r="J17" s="2" t="s">
        <v>19</v>
      </c>
      <c r="K17" s="2" t="s">
        <v>19</v>
      </c>
      <c r="L17" s="2" t="s">
        <v>19</v>
      </c>
      <c r="M17" s="2" t="s">
        <v>19</v>
      </c>
      <c r="N17" s="2" t="s">
        <v>60</v>
      </c>
      <c r="O17" s="2" t="s">
        <v>19</v>
      </c>
      <c r="P17" s="3" t="str">
        <f>HYPERLINK("https://drive.google.com/file/d/1tw-6AdqS0HNknNb-ClF4HuzQ_9Qv0tZX/view?usp=drivesdk", "Link")</f>
        <v>Link</v>
      </c>
    </row>
    <row r="18" spans="1:16" s="4" customFormat="1" x14ac:dyDescent="0.25">
      <c r="A18" s="2" t="s">
        <v>117</v>
      </c>
      <c r="B18" s="2" t="s">
        <v>61</v>
      </c>
      <c r="C18" s="2" t="s">
        <v>115</v>
      </c>
      <c r="D18" s="2" t="s">
        <v>25</v>
      </c>
      <c r="E18" s="2" t="s">
        <v>73</v>
      </c>
      <c r="F18" s="2" t="s">
        <v>116</v>
      </c>
      <c r="G18" s="2" t="s">
        <v>94</v>
      </c>
      <c r="H18" s="2" t="s">
        <v>37</v>
      </c>
      <c r="I18" s="2" t="s">
        <v>19</v>
      </c>
      <c r="J18" s="2" t="s">
        <v>19</v>
      </c>
      <c r="K18" s="2" t="s">
        <v>19</v>
      </c>
      <c r="L18" s="2" t="s">
        <v>69</v>
      </c>
      <c r="M18" s="2" t="s">
        <v>19</v>
      </c>
      <c r="N18" s="2" t="s">
        <v>19</v>
      </c>
      <c r="O18" s="2">
        <v>114.7</v>
      </c>
      <c r="P18" s="3" t="str">
        <f>HYPERLINK("https://drive.google.com/file/d/1ug2XGGWjsIgMuoCqP-QrqmEMwf7Yyfzm/view?usp=drivesdk", "Link")</f>
        <v>Link</v>
      </c>
    </row>
    <row r="19" spans="1:16" s="4" customFormat="1" x14ac:dyDescent="0.25">
      <c r="A19" s="2" t="s">
        <v>120</v>
      </c>
      <c r="B19" s="2" t="s">
        <v>62</v>
      </c>
      <c r="C19" s="2" t="s">
        <v>118</v>
      </c>
      <c r="D19" s="2" t="s">
        <v>80</v>
      </c>
      <c r="E19" s="2" t="s">
        <v>19</v>
      </c>
      <c r="F19" s="2" t="s">
        <v>80</v>
      </c>
      <c r="G19" s="2" t="s">
        <v>19</v>
      </c>
      <c r="H19" s="2" t="s">
        <v>19</v>
      </c>
      <c r="I19" s="2" t="s">
        <v>19</v>
      </c>
      <c r="J19" s="2" t="s">
        <v>119</v>
      </c>
      <c r="K19" s="2" t="s">
        <v>19</v>
      </c>
      <c r="L19" s="2" t="s">
        <v>19</v>
      </c>
      <c r="M19" s="2" t="s">
        <v>19</v>
      </c>
      <c r="N19" s="2" t="s">
        <v>121</v>
      </c>
      <c r="O19" s="2" t="s">
        <v>19</v>
      </c>
      <c r="P19" s="3" t="str">
        <f>HYPERLINK("https://drive.google.com/file/d/1jT05zm-07VXdXQVMkX_fkHUpF08Bocq2/view?usp=drivesdk", "Link")</f>
        <v>Link</v>
      </c>
    </row>
    <row r="20" spans="1:16" s="4" customFormat="1" x14ac:dyDescent="0.25">
      <c r="A20" s="2" t="s">
        <v>124</v>
      </c>
      <c r="B20" s="2" t="s">
        <v>63</v>
      </c>
      <c r="C20" s="2" t="s">
        <v>123</v>
      </c>
      <c r="D20" s="2" t="s">
        <v>19</v>
      </c>
      <c r="E20" s="2" t="s">
        <v>19</v>
      </c>
      <c r="F20" s="2" t="s">
        <v>102</v>
      </c>
      <c r="G20" s="2" t="s">
        <v>19</v>
      </c>
      <c r="H20" s="2" t="s">
        <v>32</v>
      </c>
      <c r="I20" s="2" t="s">
        <v>19</v>
      </c>
      <c r="J20" s="2" t="s">
        <v>19</v>
      </c>
      <c r="K20" s="2" t="s">
        <v>70</v>
      </c>
      <c r="L20" s="2" t="s">
        <v>69</v>
      </c>
      <c r="M20" s="2" t="s">
        <v>68</v>
      </c>
      <c r="N20" s="2" t="s">
        <v>122</v>
      </c>
      <c r="O20" s="2" t="s">
        <v>19</v>
      </c>
      <c r="P20" s="3" t="str">
        <f>HYPERLINK("https://drive.google.com/file/d/1ndiN_0xDTRnKKdv32id-AACsf5JMvIgd/view?usp=drivesdk", "Link")</f>
        <v>Link</v>
      </c>
    </row>
    <row r="21" spans="1:16" s="4" customFormat="1" x14ac:dyDescent="0.25">
      <c r="A21" s="2" t="s">
        <v>129</v>
      </c>
      <c r="B21" s="2" t="s">
        <v>55</v>
      </c>
      <c r="C21" s="2" t="s">
        <v>127</v>
      </c>
      <c r="D21" s="2" t="s">
        <v>19</v>
      </c>
      <c r="E21" s="2" t="s">
        <v>19</v>
      </c>
      <c r="F21" s="2" t="s">
        <v>128</v>
      </c>
      <c r="G21" s="2" t="s">
        <v>19</v>
      </c>
      <c r="H21" s="2" t="s">
        <v>21</v>
      </c>
      <c r="I21" s="2" t="s">
        <v>125</v>
      </c>
      <c r="J21" s="2" t="s">
        <v>19</v>
      </c>
      <c r="K21" s="2" t="s">
        <v>19</v>
      </c>
      <c r="L21" s="2" t="s">
        <v>19</v>
      </c>
      <c r="M21" s="2" t="s">
        <v>19</v>
      </c>
      <c r="N21" s="2" t="s">
        <v>126</v>
      </c>
      <c r="O21" s="2" t="s">
        <v>19</v>
      </c>
      <c r="P21" s="3" t="str">
        <f>HYPERLINK("https://drive.google.com/file/d/1GFuWb3xBw_b0_qPAEcJe4U71XjEMjqPG/view?usp=drivesdk", "Link")</f>
        <v>Link</v>
      </c>
    </row>
    <row r="22" spans="1:16" x14ac:dyDescent="0.25">
      <c r="A22" s="2" t="s">
        <v>83</v>
      </c>
      <c r="B22" s="2" t="s">
        <v>131</v>
      </c>
      <c r="C22" s="2" t="s">
        <v>130</v>
      </c>
      <c r="D22" s="2" t="s">
        <v>25</v>
      </c>
      <c r="E22" s="2" t="s">
        <v>82</v>
      </c>
      <c r="F22" s="2" t="s">
        <v>19</v>
      </c>
      <c r="G22" s="2" t="s">
        <v>81</v>
      </c>
      <c r="H22" s="2" t="s">
        <v>132</v>
      </c>
      <c r="I22" s="2" t="s">
        <v>19</v>
      </c>
      <c r="J22" s="2" t="s">
        <v>19</v>
      </c>
      <c r="K22" s="2" t="s">
        <v>19</v>
      </c>
      <c r="L22" s="2" t="s">
        <v>19</v>
      </c>
      <c r="M22" s="2" t="s">
        <v>19</v>
      </c>
      <c r="N22" s="2" t="s">
        <v>133</v>
      </c>
      <c r="O22" s="2">
        <v>150</v>
      </c>
      <c r="P22" s="3" t="str">
        <f>HYPERLINK("https://drive.google.com/file/d/1i0AeqZoohpgV9pcNxVhHh1HRQRkCURfB/view?usp=drivesdk", "Link")</f>
        <v>Link</v>
      </c>
    </row>
  </sheetData>
  <phoneticPr fontId="4" type="noConversion"/>
  <hyperlinks>
    <hyperlink ref="P2" r:id="rId1" display="https://drive.google.com/file/d/1e6dyi1UhbbwXRG91bO9J8tu9BbvyRqp4/view?usp=drivesdk" xr:uid="{00000000-0004-0000-0000-000000000000}"/>
    <hyperlink ref="P3" r:id="rId2" display="https://drive.google.com/file/d/1sbtHbw8_wTwUc0509-G26OVO2Bb7Uk4i/view?usp=drivesdk" xr:uid="{00000000-0004-0000-0000-000001000000}"/>
    <hyperlink ref="P4" r:id="rId3" display="https://drive.google.com/file/d/11N0SvkUDkNrCac00_5oAU5qrsR33ZSIR/view?usp=drivesdk" xr:uid="{00000000-0004-0000-0000-000002000000}"/>
    <hyperlink ref="P5" r:id="rId4" display="https://drive.google.com/file/d/1KPPSIC1BxLa05YJ5tZk0wuWnAXmLiGC8/view?usp=drivesdk" xr:uid="{00000000-0004-0000-0000-000003000000}"/>
    <hyperlink ref="P6" r:id="rId5" display="https://drive.google.com/file/d/1mNE-XGwv_7f4JRp4bOe6uKTHhQXpiYgl/view?usp=drivesdk" xr:uid="{00000000-0004-0000-0000-000004000000}"/>
    <hyperlink ref="P7" r:id="rId6" display="https://drive.google.com/file/d/12if3rDbj_TmQ56oTt-uMGMTeIh2q8p_P/view?usp=drivesdk" xr:uid="{00000000-0004-0000-0000-000005000000}"/>
    <hyperlink ref="P8" r:id="rId7" display="https://drive.google.com/file/d/1lF0qUZPQBU5_4ZlMJ_EXhyjOoyTiZhLC/view?usp=drivesdk" xr:uid="{00000000-0004-0000-0000-000006000000}"/>
    <hyperlink ref="P9" r:id="rId8" display="https://drive.google.com/file/d/1minfSE-MXTV53DYGYJ08atkwwpyn7qqw/view?usp=drivesdk" xr:uid="{00000000-0004-0000-0000-000007000000}"/>
    <hyperlink ref="P10" r:id="rId9" display="https://drive.google.com/file/d/1nXEpvz2paWVntYvOcq8nfj_caD1Afguk/view?usp=drivesdk" xr:uid="{00000000-0004-0000-0000-000008000000}"/>
    <hyperlink ref="P11" r:id="rId10" display="https://drive.google.com/file/d/1wEK4yFsPYqo9OYQuWAv3SGZeT4ENBV_O/view?usp=drivesdk" xr:uid="{00000000-0004-0000-0000-000009000000}"/>
    <hyperlink ref="P12" r:id="rId11" display="https://drive.google.com/file/d/1QsVfFcjj2yQXSdcBL_hzQtQ-ovcInaQ8/view?usp=drivesdk" xr:uid="{00000000-0004-0000-0000-00000A000000}"/>
    <hyperlink ref="P13" r:id="rId12" display="https://drive.google.com/file/d/11DY2adB3ERlfVkAGmivmY65Vw4YvBWnc/view?usp=drivesdk" xr:uid="{00000000-0004-0000-0000-00000B000000}"/>
    <hyperlink ref="P14" r:id="rId13" display="https://drive.google.com/file/d/15iqh-UfEggAtB4Zm3Fimk5YggDPbBBJM/view?usp=drivesdk" xr:uid="{00000000-0004-0000-0000-00000C000000}"/>
    <hyperlink ref="P15" r:id="rId14" display="https://drive.google.com/file/d/1bc0Lbg_sBGrrw6C_KffGqKgPn8XKjE2P/view?usp=drivesdk" xr:uid="{00000000-0004-0000-0000-00000D000000}"/>
    <hyperlink ref="P16" r:id="rId15" display="https://drive.google.com/file/d/1EVBLCvhAckAxAiWqC0sHp7kgcu-QL1aT/view?usp=drivesdk" xr:uid="{00000000-0004-0000-0000-00000E000000}"/>
    <hyperlink ref="P17" r:id="rId16" display="https://drive.google.com/file/d/1tw-6AdqS0HNknNb-ClF4HuzQ_9Qv0tZX/view?usp=drivesdk" xr:uid="{00000000-0004-0000-0000-00000F000000}"/>
    <hyperlink ref="P18" r:id="rId17" display="https://drive.google.com/file/d/1ug2XGGWjsIgMuoCqP-QrqmEMwf7Yyfzm/view?usp=drivesdk" xr:uid="{00000000-0004-0000-0000-000010000000}"/>
    <hyperlink ref="P19" r:id="rId18" display="https://drive.google.com/file/d/1jT05zm-07VXdXQVMkX_fkHUpF08Bocq2/view?usp=drivesdk" xr:uid="{00000000-0004-0000-0000-000011000000}"/>
    <hyperlink ref="P20" r:id="rId19" display="https://drive.google.com/file/d/1ndiN_0xDTRnKKdv32id-AACsf5JMvIgd/view?usp=drivesdk" xr:uid="{00000000-0004-0000-0000-000012000000}"/>
    <hyperlink ref="P21" r:id="rId20" display="https://drive.google.com/file/d/1GFuWb3xBw_b0_qPAEcJe4U71XjEMjqPG/view?usp=drivesdk" xr:uid="{00000000-0004-0000-0000-000013000000}"/>
    <hyperlink ref="P22" r:id="rId21" display="https://drive.google.com/file/d/1i0AeqZoohpgV9pcNxVhHh1HRQRkCURfB/view?usp=drivesdk" xr:uid="{D7784191-865E-4692-99A3-817169725E7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Tommy C.Y. Lo (羅章諺)</cp:lastModifiedBy>
  <dcterms:created xsi:type="dcterms:W3CDTF">2026-04-29T09:58:10Z</dcterms:created>
  <dcterms:modified xsi:type="dcterms:W3CDTF">2026-05-06T02:30:42Z</dcterms:modified>
</cp:coreProperties>
</file>